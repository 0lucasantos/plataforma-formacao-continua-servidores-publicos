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NDDUM G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<sst xmlns="http://schemas.openxmlformats.org/spreadsheetml/2006/main" count="111" uniqueCount="85">
  <si>
    <t xml:space="preserve">Análise de Ameaças à Privacidade — LINDDUM GO</t>
  </si>
  <si>
    <t xml:space="preserve">Plataforma de Formação Contínua — Prefeitura do Recife  |  MVP: cursos + chat Q&amp;A com IA por curso</t>
  </si>
  <si>
    <t xml:space="preserve">LEGENDA:</t>
  </si>
  <si>
    <t xml:space="preserve">Alto</t>
  </si>
  <si>
    <t xml:space="preserve">Médio</t>
  </si>
  <si>
    <t xml:space="preserve">Baixo</t>
  </si>
  <si>
    <t xml:space="preserve">Mitigado</t>
  </si>
  <si>
    <t xml:space="preserve">⚠ Impacto=5 → sempre Alto</t>
  </si>
  <si>
    <t xml:space="preserve">D¹=Detectability  |  D²=Disclosure of Information  |  Critérios: Score ≥12=Alto | 6–11=Médio | ≤5=Baixo  |  Ameaças de baixo risco ou só relevantes em escala futura foram omitidas do MVP</t>
  </si>
  <si>
    <t xml:space="preserve">LINDDUM</t>
  </si>
  <si>
    <t xml:space="preserve">Categoria</t>
  </si>
  <si>
    <t xml:space="preserve">Descrição da Ameaça</t>
  </si>
  <si>
    <t xml:space="preserve">Dado Envolvido</t>
  </si>
  <si>
    <t xml:space="preserve">Processo / Funcionalidade</t>
  </si>
  <si>
    <t xml:space="preserve">Prob.
(1–5)</t>
  </si>
  <si>
    <t xml:space="preserve">Impacto
(1–5)</t>
  </si>
  <si>
    <t xml:space="preserve">Risco
(P×I)</t>
  </si>
  <si>
    <t xml:space="preserve">Nível</t>
  </si>
  <si>
    <t xml:space="preserve">Mitigação Proposta</t>
  </si>
  <si>
    <t xml:space="preserve">Status</t>
  </si>
  <si>
    <t xml:space="preserve">L</t>
  </si>
  <si>
    <t xml:space="preserve">Linkability</t>
  </si>
  <si>
    <t xml:space="preserve">Integração SSO com Conecta Recife pode transmitir atributos funcionais do servidor (cargo, lotação) além do token de autenticação</t>
  </si>
  <si>
    <t xml:space="preserve">Matrícula, cargo, lotação via SSO</t>
  </si>
  <si>
    <t xml:space="preserve">Autenticação SSO</t>
  </si>
  <si>
    <t xml:space="preserve">SSO deve transmitir apenas token e ID pseudonimizado. Revisão técnica da integração antes do lançamento.</t>
  </si>
  <si>
    <t xml:space="preserve">Pendente</t>
  </si>
  <si>
    <t xml:space="preserve">I</t>
  </si>
  <si>
    <t xml:space="preserve">Identifiability</t>
  </si>
  <si>
    <t xml:space="preserve">Painel gerencial exibe dados de conclusão que podem identificar servidores individualmente em secretarias pequenas</t>
  </si>
  <si>
    <t xml:space="preserve">Taxa de conclusão, notas por módulo</t>
  </si>
  <si>
    <t xml:space="preserve">Painel gerencial</t>
  </si>
  <si>
    <t xml:space="preserve">Exibir apenas dados agregados (k-anonimato mínimo 5). Desabilitar filtros que gerem grupos &lt; 5.</t>
  </si>
  <si>
    <t xml:space="preserve">Perguntas feitas ao chat IA podem revelar dificuldades e lacunas de conhecimento individuais do servidor</t>
  </si>
  <si>
    <t xml:space="preserve">Texto das perguntas ao chat IA</t>
  </si>
  <si>
    <t xml:space="preserve">Chat Q&amp;A com IA por curso</t>
  </si>
  <si>
    <t xml:space="preserve">Não armazenar conteúdo das perguntas após encerramento da sessão. Cada sessão independente, sem memória entre sessões.</t>
  </si>
  <si>
    <t xml:space="preserve">Não iniciado</t>
  </si>
  <si>
    <t xml:space="preserve">D²</t>
  </si>
  <si>
    <t xml:space="preserve">Disclosure of Info.</t>
  </si>
  <si>
    <t xml:space="preserve">Vazamento do banco de dados expõe histórico de capacitação e, se armazenado, conteúdo das conversas com o chat IA</t>
  </si>
  <si>
    <t xml:space="preserve">Dados de progresso, certificados, logs de chat</t>
  </si>
  <si>
    <t xml:space="preserve">Banco de dados da plataforma</t>
  </si>
  <si>
    <t xml:space="preserve">AES-256 em repouso, TLS 1.3 em trânsito. Não persistir conteúdo textual do chat. Backup criptografado.</t>
  </si>
  <si>
    <t xml:space="preserve">Planejado</t>
  </si>
  <si>
    <t xml:space="preserve">Gestor com acesso não autorizado a dados individuais detalhados de subordinados (progresso, notas)</t>
  </si>
  <si>
    <t xml:space="preserve">Progresso individual, notas por módulo</t>
  </si>
  <si>
    <t xml:space="preserve">RBAC: gestores visualizam apenas dados agregados. MFA obrigatório para perfis com acesso ao painel.</t>
  </si>
  <si>
    <t xml:space="preserve">U</t>
  </si>
  <si>
    <t xml:space="preserve">Unawareness</t>
  </si>
  <si>
    <t xml:space="preserve">Servidores não sabem quais dados são coletados, por quanto tempo ficam retidos e como o chat IA processa suas perguntas</t>
  </si>
  <si>
    <t xml:space="preserve">Todos os dados coletados; contexto de sessão do chat</t>
  </si>
  <si>
    <t xml:space="preserve">Plataforma geral + Chat IA</t>
  </si>
  <si>
    <t xml:space="preserve">Aviso de privacidade na tela inicial. Consentimento informado no primeiro acesso. Aviso específico no chat explicando que o contexto não é salvo.</t>
  </si>
  <si>
    <t xml:space="preserve">D¹</t>
  </si>
  <si>
    <t xml:space="preserve">Detectability</t>
  </si>
  <si>
    <t xml:space="preserve">Logs de acesso com timestamps exatos podem revelar rotina e comportamento do servidor fora do expediente</t>
  </si>
  <si>
    <t xml:space="preserve">Horário de acesso, dispositivo, IP</t>
  </si>
  <si>
    <t xml:space="preserve">Logs de acesso</t>
  </si>
  <si>
    <t xml:space="preserve">Não armazenar IP completo. Agregar logs por dia (sem timestamps exatos). Retenção máxima de 90 dias.</t>
  </si>
  <si>
    <t xml:space="preserve">N</t>
  </si>
  <si>
    <t xml:space="preserve">Non-repudiation</t>
  </si>
  <si>
    <t xml:space="preserve">Registros de conclusão vinculados ao servidor podem ser usados para fins disciplinares não previstos</t>
  </si>
  <si>
    <t xml:space="preserve">Certificados, registros de conclusão</t>
  </si>
  <si>
    <t xml:space="preserve">Emissão de certificados</t>
  </si>
  <si>
    <t xml:space="preserve">Informar no termo de uso as finalidades dos registros. Acesso a registros individuais restrito ao próprio servidor.</t>
  </si>
  <si>
    <t xml:space="preserve">M</t>
  </si>
  <si>
    <t xml:space="preserve">Non-compliance</t>
  </si>
  <si>
    <t xml:space="preserve">Ausência de RIPD para o chat IA e de política de retenção de dados — dados de ex-servidores mantidos indefinidamente</t>
  </si>
  <si>
    <t xml:space="preserve">Todos os dados da plataforma; dados de ex-servidores</t>
  </si>
  <si>
    <t xml:space="preserve">Ciclo de vida de dados + Chat IA</t>
  </si>
  <si>
    <t xml:space="preserve">Elaborar RIPD antes do deploy do chat IA. Política de retenção: logs em 2 anos, certificados em 5 anos, ex-servidores excluídos em 90 dias.</t>
  </si>
  <si>
    <t xml:space="preserve">G</t>
  </si>
  <si>
    <t xml:space="preserve">God-Mode</t>
  </si>
  <si>
    <t xml:space="preserve">Administradores com acesso irrestrito a todos os dados sem segregação de funções</t>
  </si>
  <si>
    <t xml:space="preserve">Todos os dados da plataforma</t>
  </si>
  <si>
    <t xml:space="preserve">Administração do sistema</t>
  </si>
  <si>
    <t xml:space="preserve">Menor privilégio: segregar admin técnico de admin de conteúdo. MFA obrigatório para admins. Log de ações administrativas.</t>
  </si>
  <si>
    <t xml:space="preserve">RESUMO</t>
  </si>
  <si>
    <t xml:space="preserve">Qtd</t>
  </si>
  <si>
    <t xml:space="preserve">% do Total</t>
  </si>
  <si>
    <t xml:space="preserve">Ação</t>
  </si>
  <si>
    <t xml:space="preserve">Tratar antes do lançamento</t>
  </si>
  <si>
    <t xml:space="preserve">Planejar no 1º ciclo</t>
  </si>
  <si>
    <t xml:space="preserve">Monitorar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</si>
</sst>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C0000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F0000"/>
        <bgColor rgb="FFC00000"/>
      </patternFill>
    </fill>
    <fill>
      <patternFill patternType="solid">
        <fgColor rgb="FFFFA500"/>
        <bgColor rgb="FFFFCC00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8080"/>
      </patternFill>
    </fill>
    <fill>
      <patternFill patternType="solid">
        <fgColor rgb="FFFFF2CC"/>
        <bgColor rgb="FFEBF3FB"/>
      </patternFill>
    </fill>
    <fill>
      <patternFill patternType="solid">
        <fgColor rgb="FFEBF3FB"/>
        <bgColor rgb="FFFFFFFF"/>
      </patternFill>
    </fill>
    <fill>
      <patternFill patternType="solid">
        <fgColor rgb="FFFFFFFF"/>
        <bgColor rgb="FFEBF3F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/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A500"/>
      <rgbColor rgb="FFFF6600"/>
      <rgbColor rgb="FF555555"/>
      <rgbColor rgb="FF969696"/>
      <rgbColor rgb="FF1F3864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7"/>
    <col collapsed="false" customWidth="true" hidden="false" outlineLevel="0" max="3" min="3" style="0" width="36"/>
    <col collapsed="false" customWidth="true" hidden="false" outlineLevel="0" max="5" min="4" style="0" width="22"/>
    <col collapsed="false" customWidth="true" hidden="false" outlineLevel="0" max="7" min="6" style="0" width="9"/>
    <col collapsed="false" customWidth="true" hidden="false" outlineLevel="0" max="8" min="8" style="0" width="8"/>
    <col collapsed="false" customWidth="true" hidden="false" outlineLevel="0" max="9" min="9" style="0" width="10"/>
    <col collapsed="false" customWidth="true" hidden="false" outlineLevel="0" max="10" min="10" style="0" width="40"/>
    <col collapsed="false" customWidth="true" hidden="false" outlineLevel="0" max="11" min="11" style="0" width="12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.75" hidden="false" customHeight="true" outlineLevel="0" collapsed="false">
      <c r="A3" s="3" t="s">
        <v>2</v>
      </c>
      <c r="B3" s="4" t="s">
        <v>3</v>
      </c>
      <c r="C3" s="4"/>
      <c r="D3" s="5" t="s">
        <v>4</v>
      </c>
      <c r="E3" s="5"/>
      <c r="F3" s="6" t="s">
        <v>5</v>
      </c>
      <c r="G3" s="6"/>
      <c r="H3" s="7" t="s">
        <v>6</v>
      </c>
      <c r="I3" s="7"/>
      <c r="J3" s="8" t="s">
        <v>7</v>
      </c>
      <c r="K3" s="8"/>
    </row>
    <row r="4" customFormat="false" ht="12.75" hidden="false" customHeight="true" outlineLevel="0" collapsed="false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</row>
    <row r="5" customFormat="false" ht="30" hidden="false" customHeight="true" outlineLevel="0" collapsed="false">
      <c r="A5" s="10" t="s">
        <v>9</v>
      </c>
      <c r="B5" s="10" t="s">
        <v>10</v>
      </c>
      <c r="C5" s="10" t="s">
        <v>11</v>
      </c>
      <c r="D5" s="10" t="s">
        <v>12</v>
      </c>
      <c r="E5" s="10" t="s">
        <v>13</v>
      </c>
      <c r="F5" s="10" t="s">
        <v>14</v>
      </c>
      <c r="G5" s="10" t="s">
        <v>15</v>
      </c>
      <c r="H5" s="10" t="s">
        <v>16</v>
      </c>
      <c r="I5" s="10" t="s">
        <v>17</v>
      </c>
      <c r="J5" s="10" t="s">
        <v>18</v>
      </c>
      <c r="K5" s="10" t="s">
        <v>19</v>
      </c>
    </row>
    <row r="6" customFormat="false" ht="43.5" hidden="false" customHeight="true" outlineLevel="0" collapsed="false">
      <c r="A6" s="11" t="s">
        <v>20</v>
      </c>
      <c r="B6" s="11" t="s">
        <v>21</v>
      </c>
      <c r="C6" s="12" t="s">
        <v>22</v>
      </c>
      <c r="D6" s="12" t="s">
        <v>23</v>
      </c>
      <c r="E6" s="12" t="s">
        <v>24</v>
      </c>
      <c r="F6" s="11" t="n">
        <v>3</v>
      </c>
      <c r="G6" s="11" t="n">
        <v>5</v>
      </c>
      <c r="H6" s="11" t="n">
        <f aca="false">F6*G6</f>
        <v>15</v>
      </c>
      <c r="I6" s="13" t="s">
        <v>3</v>
      </c>
      <c r="J6" s="12" t="s">
        <v>25</v>
      </c>
      <c r="K6" s="11" t="s">
        <v>26</v>
      </c>
    </row>
    <row r="7" customFormat="false" ht="43.5" hidden="false" customHeight="true" outlineLevel="0" collapsed="false">
      <c r="A7" s="14" t="s">
        <v>27</v>
      </c>
      <c r="B7" s="14" t="s">
        <v>28</v>
      </c>
      <c r="C7" s="15" t="s">
        <v>29</v>
      </c>
      <c r="D7" s="15" t="s">
        <v>30</v>
      </c>
      <c r="E7" s="15" t="s">
        <v>31</v>
      </c>
      <c r="F7" s="14" t="n">
        <v>3</v>
      </c>
      <c r="G7" s="14" t="n">
        <v>4</v>
      </c>
      <c r="H7" s="14" t="n">
        <f aca="false">F7*G7</f>
        <v>12</v>
      </c>
      <c r="I7" s="13" t="s">
        <v>3</v>
      </c>
      <c r="J7" s="15" t="s">
        <v>32</v>
      </c>
      <c r="K7" s="14" t="s">
        <v>26</v>
      </c>
    </row>
    <row r="8" customFormat="false" ht="43.5" hidden="false" customHeight="true" outlineLevel="0" collapsed="false">
      <c r="A8" s="11" t="s">
        <v>27</v>
      </c>
      <c r="B8" s="11" t="s">
        <v>28</v>
      </c>
      <c r="C8" s="12" t="s">
        <v>33</v>
      </c>
      <c r="D8" s="12" t="s">
        <v>34</v>
      </c>
      <c r="E8" s="12" t="s">
        <v>35</v>
      </c>
      <c r="F8" s="11" t="n">
        <v>3</v>
      </c>
      <c r="G8" s="11" t="n">
        <v>4</v>
      </c>
      <c r="H8" s="11" t="n">
        <f aca="false">F8*G8</f>
        <v>12</v>
      </c>
      <c r="I8" s="13" t="s">
        <v>3</v>
      </c>
      <c r="J8" s="12" t="s">
        <v>36</v>
      </c>
      <c r="K8" s="11" t="s">
        <v>37</v>
      </c>
    </row>
    <row r="9" customFormat="false" ht="43.5" hidden="false" customHeight="true" outlineLevel="0" collapsed="false">
      <c r="A9" s="14" t="s">
        <v>38</v>
      </c>
      <c r="B9" s="14" t="s">
        <v>39</v>
      </c>
      <c r="C9" s="15" t="s">
        <v>40</v>
      </c>
      <c r="D9" s="15" t="s">
        <v>41</v>
      </c>
      <c r="E9" s="15" t="s">
        <v>42</v>
      </c>
      <c r="F9" s="14" t="n">
        <v>2</v>
      </c>
      <c r="G9" s="14" t="n">
        <v>5</v>
      </c>
      <c r="H9" s="14" t="n">
        <f aca="false">F9*G9</f>
        <v>10</v>
      </c>
      <c r="I9" s="13" t="s">
        <v>3</v>
      </c>
      <c r="J9" s="15" t="s">
        <v>43</v>
      </c>
      <c r="K9" s="14" t="s">
        <v>44</v>
      </c>
    </row>
    <row r="10" customFormat="false" ht="43.5" hidden="false" customHeight="true" outlineLevel="0" collapsed="false">
      <c r="A10" s="11" t="s">
        <v>38</v>
      </c>
      <c r="B10" s="11" t="s">
        <v>39</v>
      </c>
      <c r="C10" s="12" t="s">
        <v>45</v>
      </c>
      <c r="D10" s="12" t="s">
        <v>46</v>
      </c>
      <c r="E10" s="12" t="s">
        <v>31</v>
      </c>
      <c r="F10" s="11" t="n">
        <v>3</v>
      </c>
      <c r="G10" s="11" t="n">
        <v>4</v>
      </c>
      <c r="H10" s="11" t="n">
        <f aca="false">F10*G10</f>
        <v>12</v>
      </c>
      <c r="I10" s="13" t="s">
        <v>3</v>
      </c>
      <c r="J10" s="12" t="s">
        <v>47</v>
      </c>
      <c r="K10" s="11" t="s">
        <v>26</v>
      </c>
    </row>
    <row r="11" customFormat="false" ht="43.5" hidden="false" customHeight="true" outlineLevel="0" collapsed="false">
      <c r="A11" s="14" t="s">
        <v>48</v>
      </c>
      <c r="B11" s="14" t="s">
        <v>49</v>
      </c>
      <c r="C11" s="15" t="s">
        <v>50</v>
      </c>
      <c r="D11" s="15" t="s">
        <v>51</v>
      </c>
      <c r="E11" s="15" t="s">
        <v>52</v>
      </c>
      <c r="F11" s="14" t="n">
        <v>4</v>
      </c>
      <c r="G11" s="14" t="n">
        <v>3</v>
      </c>
      <c r="H11" s="14" t="n">
        <f aca="false">F11*G11</f>
        <v>12</v>
      </c>
      <c r="I11" s="13" t="s">
        <v>3</v>
      </c>
      <c r="J11" s="15" t="s">
        <v>53</v>
      </c>
      <c r="K11" s="14" t="s">
        <v>26</v>
      </c>
    </row>
    <row r="12" customFormat="false" ht="43.5" hidden="false" customHeight="true" outlineLevel="0" collapsed="false">
      <c r="A12" s="11" t="s">
        <v>54</v>
      </c>
      <c r="B12" s="11" t="s">
        <v>55</v>
      </c>
      <c r="C12" s="12" t="s">
        <v>56</v>
      </c>
      <c r="D12" s="12" t="s">
        <v>57</v>
      </c>
      <c r="E12" s="12" t="s">
        <v>58</v>
      </c>
      <c r="F12" s="11" t="n">
        <v>3</v>
      </c>
      <c r="G12" s="11" t="n">
        <v>3</v>
      </c>
      <c r="H12" s="11" t="n">
        <f aca="false">F12*G12</f>
        <v>9</v>
      </c>
      <c r="I12" s="16" t="s">
        <v>4</v>
      </c>
      <c r="J12" s="12" t="s">
        <v>59</v>
      </c>
      <c r="K12" s="11" t="s">
        <v>26</v>
      </c>
    </row>
    <row r="13" customFormat="false" ht="43.5" hidden="false" customHeight="true" outlineLevel="0" collapsed="false">
      <c r="A13" s="14" t="s">
        <v>60</v>
      </c>
      <c r="B13" s="14" t="s">
        <v>61</v>
      </c>
      <c r="C13" s="15" t="s">
        <v>62</v>
      </c>
      <c r="D13" s="15" t="s">
        <v>63</v>
      </c>
      <c r="E13" s="15" t="s">
        <v>64</v>
      </c>
      <c r="F13" s="14" t="n">
        <v>2</v>
      </c>
      <c r="G13" s="14" t="n">
        <v>4</v>
      </c>
      <c r="H13" s="14" t="n">
        <f aca="false">F13*G13</f>
        <v>8</v>
      </c>
      <c r="I13" s="16" t="s">
        <v>4</v>
      </c>
      <c r="J13" s="15" t="s">
        <v>65</v>
      </c>
      <c r="K13" s="14" t="s">
        <v>26</v>
      </c>
    </row>
    <row r="14" customFormat="false" ht="43.5" hidden="false" customHeight="true" outlineLevel="0" collapsed="false">
      <c r="A14" s="11" t="s">
        <v>66</v>
      </c>
      <c r="B14" s="11" t="s">
        <v>67</v>
      </c>
      <c r="C14" s="12" t="s">
        <v>68</v>
      </c>
      <c r="D14" s="12" t="s">
        <v>69</v>
      </c>
      <c r="E14" s="12" t="s">
        <v>70</v>
      </c>
      <c r="F14" s="11" t="n">
        <v>4</v>
      </c>
      <c r="G14" s="11" t="n">
        <v>4</v>
      </c>
      <c r="H14" s="11" t="n">
        <f aca="false">F14*G14</f>
        <v>16</v>
      </c>
      <c r="I14" s="13" t="s">
        <v>3</v>
      </c>
      <c r="J14" s="12" t="s">
        <v>71</v>
      </c>
      <c r="K14" s="11" t="s">
        <v>37</v>
      </c>
    </row>
    <row r="15" customFormat="false" ht="43.5" hidden="false" customHeight="true" outlineLevel="0" collapsed="false">
      <c r="A15" s="14" t="s">
        <v>72</v>
      </c>
      <c r="B15" s="14" t="s">
        <v>73</v>
      </c>
      <c r="C15" s="15" t="s">
        <v>74</v>
      </c>
      <c r="D15" s="15" t="s">
        <v>75</v>
      </c>
      <c r="E15" s="15" t="s">
        <v>76</v>
      </c>
      <c r="F15" s="14" t="n">
        <v>2</v>
      </c>
      <c r="G15" s="14" t="n">
        <v>5</v>
      </c>
      <c r="H15" s="14" t="n">
        <f aca="false">F15*G15</f>
        <v>10</v>
      </c>
      <c r="I15" s="13" t="s">
        <v>3</v>
      </c>
      <c r="J15" s="15" t="s">
        <v>77</v>
      </c>
      <c r="K15" s="14" t="s">
        <v>44</v>
      </c>
    </row>
    <row r="17" customFormat="false" ht="15" hidden="false" customHeight="true" outlineLevel="0" collapsed="false">
      <c r="A17" s="17" t="s">
        <v>78</v>
      </c>
      <c r="B17" s="17"/>
      <c r="C17" s="17"/>
      <c r="D17" s="17"/>
    </row>
    <row r="18" customFormat="false" ht="15" hidden="false" customHeight="false" outlineLevel="0" collapsed="false">
      <c r="A18" s="10" t="s">
        <v>17</v>
      </c>
      <c r="B18" s="10" t="s">
        <v>79</v>
      </c>
      <c r="C18" s="10" t="s">
        <v>80</v>
      </c>
      <c r="D18" s="10" t="s">
        <v>81</v>
      </c>
    </row>
    <row r="19" customFormat="false" ht="18" hidden="false" customHeight="true" outlineLevel="0" collapsed="false">
      <c r="A19" s="18" t="s">
        <v>3</v>
      </c>
      <c r="B19" s="14" t="n">
        <f aca="false">COUNTIF(I6:I15,"Alto")</f>
        <v>8</v>
      </c>
      <c r="C19" s="19" t="n">
        <f aca="false">B19/SUM(B19:B21)</f>
        <v>0.8</v>
      </c>
      <c r="D19" s="15" t="s">
        <v>82</v>
      </c>
    </row>
    <row r="20" customFormat="false" ht="18" hidden="false" customHeight="true" outlineLevel="0" collapsed="false">
      <c r="A20" s="20" t="s">
        <v>4</v>
      </c>
      <c r="B20" s="14" t="n">
        <f aca="false">COUNTIF(I6:I15,"Médio")</f>
        <v>2</v>
      </c>
      <c r="C20" s="19" t="n">
        <f aca="false">B20/SUM(B19:B21)</f>
        <v>0.2</v>
      </c>
      <c r="D20" s="15" t="s">
        <v>83</v>
      </c>
    </row>
    <row r="21" customFormat="false" ht="18" hidden="false" customHeight="true" outlineLevel="0" collapsed="false">
      <c r="A21" s="21" t="s">
        <v>5</v>
      </c>
      <c r="B21" s="14" t="n">
        <f aca="false">COUNTIF(I6:I15,"Baixo")</f>
        <v>0</v>
      </c>
      <c r="C21" s="19" t="n">
        <f aca="false">B21/SUM(B19:B21)</f>
        <v>0</v>
      </c>
      <c r="D21" s="15" t="s">
        <v>84</v>
      </c>
    </row>
  </sheetData>
  <mergeCells count="9">
    <mergeCell ref="A1:K1"/>
    <mergeCell ref="A2:K2"/>
    <mergeCell ref="B3:C3"/>
    <mergeCell ref="D3:E3"/>
    <mergeCell ref="F3:G3"/>
    <mergeCell ref="H3:I3"/>
    <mergeCell ref="J3:K3"/>
    <mergeCell ref="A4:K4"/>
    <mergeCell ref="A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2026-05-26T16:02:34Z</dcterms:created>
  <dc:creator>openpyxl</dc:creator>
  <dc:description/>
  <dc:language>en-US</dc:language>
  <cp:lastModifiedBy/>
  <dcterms:modified xsi:type="dcterms:W3CDTF">2026-05-26T16:02:34Z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